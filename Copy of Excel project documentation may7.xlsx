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9890" windowHeight="7020"/>
  </bookViews>
  <sheets>
    <sheet name="Data set" sheetId="1" r:id="rId1"/>
    <sheet name="Pivot table" sheetId="5" r:id="rId2"/>
    <sheet name="Line chart" sheetId="6" r:id="rId3"/>
  </sheets>
  <calcPr calcId="125725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2" i="1"/>
  <c r="O13"/>
  <c r="O14"/>
  <c r="O15"/>
  <c r="O11"/>
  <c r="N15"/>
  <c r="N14"/>
  <c r="N13"/>
  <c r="N11"/>
  <c r="N12"/>
  <c r="M15"/>
  <c r="M14"/>
  <c r="M13"/>
  <c r="M12"/>
  <c r="M11"/>
  <c r="O8"/>
  <c r="O7"/>
  <c r="J28"/>
  <c r="H28"/>
  <c r="G28"/>
  <c r="F28"/>
  <c r="J27"/>
  <c r="H27"/>
  <c r="G27"/>
  <c r="F27"/>
  <c r="J26"/>
  <c r="H26"/>
  <c r="G26"/>
  <c r="F26"/>
  <c r="J25"/>
  <c r="H25"/>
  <c r="G25"/>
  <c r="F25"/>
  <c r="J24"/>
  <c r="H24"/>
  <c r="G24"/>
  <c r="F24"/>
  <c r="J23"/>
  <c r="H23"/>
  <c r="G23"/>
  <c r="F23"/>
  <c r="J22"/>
  <c r="H22"/>
  <c r="G22"/>
  <c r="F22"/>
  <c r="J21"/>
  <c r="H21"/>
  <c r="G21"/>
  <c r="F21"/>
  <c r="J20"/>
  <c r="H20"/>
  <c r="G20"/>
  <c r="F20"/>
  <c r="J19"/>
  <c r="H19"/>
  <c r="G19"/>
  <c r="F19"/>
  <c r="J18"/>
  <c r="H18"/>
  <c r="G18"/>
  <c r="F18"/>
  <c r="J17"/>
  <c r="H17"/>
  <c r="G17"/>
  <c r="F17"/>
  <c r="J16"/>
  <c r="H16"/>
  <c r="G16"/>
  <c r="F16"/>
  <c r="J15"/>
  <c r="H15"/>
  <c r="G15"/>
  <c r="F15"/>
  <c r="J14"/>
  <c r="H14"/>
  <c r="G14"/>
  <c r="F14"/>
  <c r="J13"/>
  <c r="H13"/>
  <c r="G13"/>
  <c r="F13"/>
  <c r="J12"/>
  <c r="H12"/>
  <c r="G12"/>
  <c r="F12"/>
  <c r="J11"/>
  <c r="H11"/>
  <c r="G11"/>
  <c r="F11"/>
  <c r="J10"/>
  <c r="H10"/>
  <c r="G10"/>
  <c r="F10"/>
  <c r="J9"/>
  <c r="H9"/>
  <c r="G9"/>
  <c r="F9"/>
  <c r="J8"/>
  <c r="H8"/>
  <c r="G8"/>
  <c r="F8"/>
  <c r="J7"/>
  <c r="H7"/>
  <c r="G7"/>
  <c r="F7"/>
  <c r="O6"/>
  <c r="J6"/>
  <c r="H6"/>
  <c r="G6"/>
  <c r="F6"/>
  <c r="J5"/>
  <c r="H5"/>
  <c r="G5"/>
  <c r="F5"/>
  <c r="J4"/>
  <c r="H4"/>
  <c r="G4"/>
  <c r="F4"/>
</calcChain>
</file>

<file path=xl/sharedStrings.xml><?xml version="1.0" encoding="utf-8"?>
<sst xmlns="http://schemas.openxmlformats.org/spreadsheetml/2006/main" count="108" uniqueCount="51">
  <si>
    <t>INVENTORY DATA ANALYSIS</t>
  </si>
  <si>
    <t>SNO</t>
  </si>
  <si>
    <t>Product name</t>
  </si>
  <si>
    <t>Location</t>
  </si>
  <si>
    <t>Sales per month</t>
  </si>
  <si>
    <t>Reorder points</t>
  </si>
  <si>
    <t xml:space="preserve">Reorder </t>
  </si>
  <si>
    <t>Amount of product</t>
  </si>
  <si>
    <t>Total sales</t>
  </si>
  <si>
    <t>Cup</t>
  </si>
  <si>
    <t>Avady</t>
  </si>
  <si>
    <t>Sauser</t>
  </si>
  <si>
    <t>Guindy</t>
  </si>
  <si>
    <t>Spoon</t>
  </si>
  <si>
    <t>Mailapur</t>
  </si>
  <si>
    <t>Average sales</t>
  </si>
  <si>
    <t>Pen</t>
  </si>
  <si>
    <t>Tnagar</t>
  </si>
  <si>
    <t>Maximum inventory product</t>
  </si>
  <si>
    <t>Pencil</t>
  </si>
  <si>
    <t>Minimum inventory product</t>
  </si>
  <si>
    <t>Umbrella</t>
  </si>
  <si>
    <t>Ribbon</t>
  </si>
  <si>
    <t>School bag</t>
  </si>
  <si>
    <t>Adayar</t>
  </si>
  <si>
    <t>Toy car</t>
  </si>
  <si>
    <t>Remote car</t>
  </si>
  <si>
    <t>Notes</t>
  </si>
  <si>
    <t>Watch toy</t>
  </si>
  <si>
    <t>Hand bag</t>
  </si>
  <si>
    <t>Drums</t>
  </si>
  <si>
    <t>Helicopter toy</t>
  </si>
  <si>
    <t>Balloon</t>
  </si>
  <si>
    <t>Kite</t>
  </si>
  <si>
    <t>Fire truck</t>
  </si>
  <si>
    <t>Toy guns</t>
  </si>
  <si>
    <t>Fish toy</t>
  </si>
  <si>
    <t>Mermaid toy</t>
  </si>
  <si>
    <t>Octopus toy</t>
  </si>
  <si>
    <t>Lorry toy</t>
  </si>
  <si>
    <t>Puzzles</t>
  </si>
  <si>
    <t>Toy Masks</t>
  </si>
  <si>
    <t>Inventory</t>
  </si>
  <si>
    <t>Product numbers</t>
  </si>
  <si>
    <t xml:space="preserve"> Count</t>
  </si>
  <si>
    <t>Average</t>
  </si>
  <si>
    <t>Sum</t>
  </si>
  <si>
    <t>Row Labels</t>
  </si>
  <si>
    <t>Grand Total</t>
  </si>
  <si>
    <t>Column Labels</t>
  </si>
  <si>
    <t>Sum of Inventory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</si>
</sst>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0" xfId="0" pivotButton="1"/>
    <xf numFmtId="0" fontId="0" fillId="0" borderId="0" xfId="0" applyNumberFormat="1"/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"/>
  <c:chart>
    <c:title>
      <c:overlay val="1"/>
    </c:title>
    <c:plotArea>
      <c:layout>
        <c:manualLayout>
          <c:layoutTarget val="inner"/>
          <c:xMode val="edge"/>
          <c:yMode val="edge"/>
          <c:x val="4.9889570262814029E-2"/>
          <c:y val="0.11849217703464164"/>
          <c:w val="0.94278242368836751"/>
          <c:h val="0.7176655870659866"/>
        </c:manualLayout>
      </c:layout>
      <c:lineChart>
        <c:grouping val="stacked"/>
        <c:ser>
          <c:idx val="0"/>
          <c:order val="0"/>
          <c:tx>
            <c:strRef>
              <c:f>'Data set'!$F$3</c:f>
              <c:strCache>
                <c:ptCount val="1"/>
                <c:pt idx="0">
                  <c:v>Inventory</c:v>
                </c:pt>
              </c:strCache>
            </c:strRef>
          </c:tx>
          <c:marker>
            <c:symbol val="none"/>
          </c:marker>
          <c:dLbls>
            <c:dLblPos val="l"/>
            <c:showVal val="1"/>
          </c:dLbls>
          <c:cat>
            <c:strRef>
              <c:f>'Data set'!$B$4:$B$28</c:f>
              <c:strCache>
                <c:ptCount val="25"/>
                <c:pt idx="0">
                  <c:v>Cup</c:v>
                </c:pt>
                <c:pt idx="1">
                  <c:v>Sauser</c:v>
                </c:pt>
                <c:pt idx="2">
                  <c:v>Spoon</c:v>
                </c:pt>
                <c:pt idx="3">
                  <c:v>Pen</c:v>
                </c:pt>
                <c:pt idx="4">
                  <c:v>Pencil</c:v>
                </c:pt>
                <c:pt idx="5">
                  <c:v>Umbrella</c:v>
                </c:pt>
                <c:pt idx="6">
                  <c:v>Ribbon</c:v>
                </c:pt>
                <c:pt idx="7">
                  <c:v>School bag</c:v>
                </c:pt>
                <c:pt idx="8">
                  <c:v>Toy car</c:v>
                </c:pt>
                <c:pt idx="9">
                  <c:v>Remote car</c:v>
                </c:pt>
                <c:pt idx="10">
                  <c:v>Notes</c:v>
                </c:pt>
                <c:pt idx="11">
                  <c:v>Watch toy</c:v>
                </c:pt>
                <c:pt idx="12">
                  <c:v>Hand bag</c:v>
                </c:pt>
                <c:pt idx="13">
                  <c:v>Drums</c:v>
                </c:pt>
                <c:pt idx="14">
                  <c:v>Helicopter toy</c:v>
                </c:pt>
                <c:pt idx="15">
                  <c:v>Balloon</c:v>
                </c:pt>
                <c:pt idx="16">
                  <c:v>Kite</c:v>
                </c:pt>
                <c:pt idx="17">
                  <c:v>Fire truck</c:v>
                </c:pt>
                <c:pt idx="18">
                  <c:v>Toy guns</c:v>
                </c:pt>
                <c:pt idx="19">
                  <c:v>Fish toy</c:v>
                </c:pt>
                <c:pt idx="20">
                  <c:v>Mermaid toy</c:v>
                </c:pt>
                <c:pt idx="21">
                  <c:v>Octopus toy</c:v>
                </c:pt>
                <c:pt idx="22">
                  <c:v>Lorry toy</c:v>
                </c:pt>
                <c:pt idx="23">
                  <c:v>Puzzles</c:v>
                </c:pt>
                <c:pt idx="24">
                  <c:v>Toy Masks</c:v>
                </c:pt>
              </c:strCache>
            </c:strRef>
          </c:cat>
          <c:val>
            <c:numRef>
              <c:f>'Data set'!$F$4:$F$28</c:f>
              <c:numCache>
                <c:formatCode>General</c:formatCode>
                <c:ptCount val="25"/>
                <c:pt idx="0">
                  <c:v>30</c:v>
                </c:pt>
                <c:pt idx="1">
                  <c:v>19</c:v>
                </c:pt>
                <c:pt idx="2">
                  <c:v>58</c:v>
                </c:pt>
                <c:pt idx="3">
                  <c:v>23</c:v>
                </c:pt>
                <c:pt idx="4">
                  <c:v>10</c:v>
                </c:pt>
                <c:pt idx="5">
                  <c:v>28</c:v>
                </c:pt>
                <c:pt idx="6">
                  <c:v>54</c:v>
                </c:pt>
                <c:pt idx="7">
                  <c:v>78</c:v>
                </c:pt>
                <c:pt idx="8">
                  <c:v>9</c:v>
                </c:pt>
                <c:pt idx="9">
                  <c:v>35</c:v>
                </c:pt>
                <c:pt idx="10">
                  <c:v>30</c:v>
                </c:pt>
                <c:pt idx="11">
                  <c:v>27</c:v>
                </c:pt>
                <c:pt idx="12">
                  <c:v>87</c:v>
                </c:pt>
                <c:pt idx="13">
                  <c:v>15</c:v>
                </c:pt>
                <c:pt idx="14">
                  <c:v>10</c:v>
                </c:pt>
                <c:pt idx="15">
                  <c:v>25</c:v>
                </c:pt>
                <c:pt idx="16">
                  <c:v>65</c:v>
                </c:pt>
                <c:pt idx="17">
                  <c:v>9</c:v>
                </c:pt>
                <c:pt idx="18">
                  <c:v>24</c:v>
                </c:pt>
                <c:pt idx="19">
                  <c:v>6</c:v>
                </c:pt>
                <c:pt idx="20">
                  <c:v>12</c:v>
                </c:pt>
                <c:pt idx="21">
                  <c:v>21</c:v>
                </c:pt>
                <c:pt idx="22">
                  <c:v>9</c:v>
                </c:pt>
                <c:pt idx="23">
                  <c:v>30</c:v>
                </c:pt>
                <c:pt idx="24">
                  <c:v>25</c:v>
                </c:pt>
              </c:numCache>
            </c:numRef>
          </c:val>
        </c:ser>
        <c:dLbls>
          <c:showVal val="1"/>
        </c:dLbls>
        <c:marker val="1"/>
        <c:axId val="156102656"/>
        <c:axId val="119558528"/>
      </c:lineChart>
      <c:catAx>
        <c:axId val="156102656"/>
        <c:scaling>
          <c:orientation val="minMax"/>
        </c:scaling>
        <c:axPos val="b"/>
        <c:tickLblPos val="nextTo"/>
        <c:crossAx val="119558528"/>
        <c:crosses val="autoZero"/>
        <c:auto val="1"/>
        <c:lblAlgn val="ctr"/>
        <c:lblOffset val="100"/>
      </c:catAx>
      <c:valAx>
        <c:axId val="119558528"/>
        <c:scaling>
          <c:orientation val="minMax"/>
        </c:scaling>
        <c:axPos val="l"/>
        <c:majorGridlines/>
        <c:numFmt formatCode="General" sourceLinked="1"/>
        <c:tickLblPos val="nextTo"/>
        <c:crossAx val="156102656"/>
        <c:crosses val="autoZero"/>
        <c:crossBetween val="between"/>
      </c:valAx>
      <c:dTable>
        <c:showHorzBorder val="1"/>
        <c:showVertBorder val="1"/>
        <c:showOutline val="1"/>
      </c:dTable>
    </c:plotArea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1</xdr:row>
      <xdr:rowOff>44824</xdr:rowOff>
    </xdr:from>
    <xdr:to>
      <xdr:col>24</xdr:col>
      <xdr:colOff>22411</xdr:colOff>
      <xdr:row>28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150.458494328705" createdVersion="3" refreshedVersion="3" minRefreshableVersion="3" recordCount="25">
  <cacheSource type="worksheet">
    <worksheetSource ref="A3:J28" sheet="Data set"/>
  </cacheSource>
  <cacheFields count="10">
    <cacheField name="SNO" numFmtId="0">
      <sharedItems containsSemiMixedTypes="0" containsString="0" containsNumber="1" containsInteger="1" minValue="1" maxValue="25"/>
    </cacheField>
    <cacheField name="Product name" numFmtId="0">
      <sharedItems count="25">
        <s v="Cup"/>
        <s v="Sauser"/>
        <s v="Spoon"/>
        <s v="Pen"/>
        <s v="Pencil"/>
        <s v="Umbrella"/>
        <s v="Ribbon"/>
        <s v="School bag"/>
        <s v="Toy car"/>
        <s v="Remote car"/>
        <s v="Notes"/>
        <s v="Watch toy"/>
        <s v="Hand bag"/>
        <s v="Drums"/>
        <s v="Helicopter toy"/>
        <s v="Balloon"/>
        <s v="Kite"/>
        <s v="Fire truck"/>
        <s v="Toy guns"/>
        <s v="Fish toy"/>
        <s v="Mermaid toy"/>
        <s v="Octopus toy"/>
        <s v="Lorry toy"/>
        <s v="Puzzles"/>
        <s v="Toy Masks"/>
      </sharedItems>
    </cacheField>
    <cacheField name="Location" numFmtId="0">
      <sharedItems count="5">
        <s v="Avady"/>
        <s v="Guindy"/>
        <s v="Mailapur"/>
        <s v="Tnagar"/>
        <s v="Adayar"/>
      </sharedItems>
    </cacheField>
    <cacheField name="Product numbers" numFmtId="0">
      <sharedItems containsSemiMixedTypes="0" containsString="0" containsNumber="1" containsInteger="1" minValue="20" maxValue="100" count="19">
        <n v="45"/>
        <n v="39"/>
        <n v="68"/>
        <n v="75"/>
        <n v="50"/>
        <n v="86"/>
        <n v="90"/>
        <n v="60"/>
        <n v="48"/>
        <n v="100"/>
        <n v="20"/>
        <n v="70"/>
        <n v="80"/>
        <n v="99"/>
        <n v="36"/>
        <n v="56"/>
        <n v="25"/>
        <n v="46"/>
        <n v="30"/>
      </sharedItems>
    </cacheField>
    <cacheField name="Sales per month" numFmtId="0">
      <sharedItems containsSemiMixedTypes="0" containsString="0" containsNumber="1" containsInteger="1" minValue="10" maxValue="90"/>
    </cacheField>
    <cacheField name="Inventory" numFmtId="0">
      <sharedItems containsSemiMixedTypes="0" containsString="0" containsNumber="1" containsInteger="1" minValue="6" maxValue="87"/>
    </cacheField>
    <cacheField name="Reorder points" numFmtId="0">
      <sharedItems containsSemiMixedTypes="0" containsString="0" containsNumber="1" containsInteger="1" minValue="6" maxValue="35"/>
    </cacheField>
    <cacheField name="Reorder " numFmtId="0">
      <sharedItems/>
    </cacheField>
    <cacheField name="Amount of product" numFmtId="0">
      <sharedItems containsSemiMixedTypes="0" containsString="0" containsNumber="1" containsInteger="1" minValue="10" maxValue="8000"/>
    </cacheField>
    <cacheField name="Total sales" numFmtId="0">
      <sharedItems containsSemiMixedTypes="0" containsString="0" containsNumber="1" containsInteger="1" minValue="400" maxValue="13500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">
  <r>
    <n v="1"/>
    <x v="0"/>
    <x v="0"/>
    <x v="0"/>
    <n v="15"/>
    <n v="30"/>
    <n v="15"/>
    <s v="No"/>
    <n v="100"/>
    <n v="1500"/>
  </r>
  <r>
    <n v="2"/>
    <x v="1"/>
    <x v="1"/>
    <x v="1"/>
    <n v="20"/>
    <n v="19"/>
    <n v="19"/>
    <s v="Yes"/>
    <n v="150"/>
    <n v="3000"/>
  </r>
  <r>
    <n v="3"/>
    <x v="2"/>
    <x v="2"/>
    <x v="2"/>
    <n v="10"/>
    <n v="58"/>
    <n v="10"/>
    <s v="No"/>
    <n v="50"/>
    <n v="500"/>
  </r>
  <r>
    <n v="4"/>
    <x v="3"/>
    <x v="3"/>
    <x v="3"/>
    <n v="52"/>
    <n v="23"/>
    <n v="23"/>
    <s v="Yes"/>
    <n v="15"/>
    <n v="780"/>
  </r>
  <r>
    <n v="5"/>
    <x v="4"/>
    <x v="2"/>
    <x v="4"/>
    <n v="40"/>
    <n v="10"/>
    <n v="10"/>
    <s v="Yes"/>
    <n v="10"/>
    <n v="400"/>
  </r>
  <r>
    <n v="6"/>
    <x v="5"/>
    <x v="2"/>
    <x v="2"/>
    <n v="40"/>
    <n v="28"/>
    <n v="28"/>
    <s v="Yes"/>
    <n v="150"/>
    <n v="6000"/>
  </r>
  <r>
    <n v="7"/>
    <x v="6"/>
    <x v="1"/>
    <x v="5"/>
    <n v="32"/>
    <n v="54"/>
    <n v="32"/>
    <s v="No"/>
    <n v="500"/>
    <n v="16000"/>
  </r>
  <r>
    <n v="8"/>
    <x v="7"/>
    <x v="4"/>
    <x v="6"/>
    <n v="12"/>
    <n v="78"/>
    <n v="12"/>
    <s v="No"/>
    <n v="2000"/>
    <n v="24000"/>
  </r>
  <r>
    <n v="9"/>
    <x v="8"/>
    <x v="0"/>
    <x v="2"/>
    <n v="59"/>
    <n v="9"/>
    <n v="9"/>
    <s v="Yes"/>
    <n v="300"/>
    <n v="17700"/>
  </r>
  <r>
    <n v="10"/>
    <x v="9"/>
    <x v="2"/>
    <x v="3"/>
    <n v="40"/>
    <n v="35"/>
    <n v="35"/>
    <s v="Yes"/>
    <n v="3000"/>
    <n v="120000"/>
  </r>
  <r>
    <n v="11"/>
    <x v="10"/>
    <x v="0"/>
    <x v="7"/>
    <n v="30"/>
    <n v="30"/>
    <n v="30"/>
    <s v="Yes"/>
    <n v="30"/>
    <n v="900"/>
  </r>
  <r>
    <n v="12"/>
    <x v="11"/>
    <x v="3"/>
    <x v="8"/>
    <n v="21"/>
    <n v="27"/>
    <n v="21"/>
    <s v="No"/>
    <n v="150"/>
    <n v="3150"/>
  </r>
  <r>
    <n v="13"/>
    <x v="12"/>
    <x v="1"/>
    <x v="9"/>
    <n v="13"/>
    <n v="87"/>
    <n v="13"/>
    <s v="No"/>
    <n v="6000"/>
    <n v="78000"/>
  </r>
  <r>
    <n v="14"/>
    <x v="13"/>
    <x v="0"/>
    <x v="4"/>
    <n v="35"/>
    <n v="15"/>
    <n v="15"/>
    <s v="Yes"/>
    <n v="1000"/>
    <n v="35000"/>
  </r>
  <r>
    <n v="15"/>
    <x v="14"/>
    <x v="2"/>
    <x v="10"/>
    <n v="10"/>
    <n v="10"/>
    <n v="10"/>
    <s v="Yes"/>
    <n v="8000"/>
    <n v="80000"/>
  </r>
  <r>
    <n v="16"/>
    <x v="15"/>
    <x v="4"/>
    <x v="11"/>
    <n v="45"/>
    <n v="25"/>
    <n v="25"/>
    <s v="Yes"/>
    <n v="10"/>
    <n v="450"/>
  </r>
  <r>
    <n v="17"/>
    <x v="16"/>
    <x v="1"/>
    <x v="12"/>
    <n v="15"/>
    <n v="65"/>
    <n v="15"/>
    <s v="No"/>
    <n v="50"/>
    <n v="750"/>
  </r>
  <r>
    <n v="18"/>
    <x v="17"/>
    <x v="1"/>
    <x v="13"/>
    <n v="90"/>
    <n v="9"/>
    <n v="9"/>
    <s v="Yes"/>
    <n v="1500"/>
    <n v="135000"/>
  </r>
  <r>
    <n v="19"/>
    <x v="18"/>
    <x v="2"/>
    <x v="14"/>
    <n v="12"/>
    <n v="24"/>
    <n v="12"/>
    <s v="No"/>
    <n v="2500"/>
    <n v="30000"/>
  </r>
  <r>
    <n v="20"/>
    <x v="19"/>
    <x v="4"/>
    <x v="15"/>
    <n v="50"/>
    <n v="6"/>
    <n v="6"/>
    <s v="Yes"/>
    <n v="350"/>
    <n v="17500"/>
  </r>
  <r>
    <n v="21"/>
    <x v="20"/>
    <x v="1"/>
    <x v="16"/>
    <n v="13"/>
    <n v="12"/>
    <n v="12"/>
    <s v="Yes"/>
    <n v="450"/>
    <n v="5850"/>
  </r>
  <r>
    <n v="22"/>
    <x v="21"/>
    <x v="0"/>
    <x v="17"/>
    <n v="25"/>
    <n v="21"/>
    <n v="21"/>
    <s v="Yes"/>
    <n v="580"/>
    <n v="14500"/>
  </r>
  <r>
    <n v="23"/>
    <x v="22"/>
    <x v="2"/>
    <x v="18"/>
    <n v="21"/>
    <n v="9"/>
    <n v="9"/>
    <s v="Yes"/>
    <n v="800"/>
    <n v="16800"/>
  </r>
  <r>
    <n v="24"/>
    <x v="23"/>
    <x v="3"/>
    <x v="12"/>
    <n v="50"/>
    <n v="30"/>
    <n v="30"/>
    <s v="Yes"/>
    <n v="60"/>
    <n v="3000"/>
  </r>
  <r>
    <n v="25"/>
    <x v="24"/>
    <x v="2"/>
    <x v="3"/>
    <n v="50"/>
    <n v="25"/>
    <n v="25"/>
    <s v="Yes"/>
    <n v="20"/>
    <n v="1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G30" firstHeaderRow="1" firstDataRow="2" firstDataCol="1"/>
  <pivotFields count="10">
    <pivotField showAll="0"/>
    <pivotField axis="axisRow" showAll="0">
      <items count="26">
        <item x="15"/>
        <item x="0"/>
        <item x="13"/>
        <item x="17"/>
        <item x="19"/>
        <item x="12"/>
        <item x="14"/>
        <item x="16"/>
        <item x="22"/>
        <item x="20"/>
        <item x="10"/>
        <item x="21"/>
        <item x="3"/>
        <item x="4"/>
        <item x="23"/>
        <item x="9"/>
        <item x="6"/>
        <item x="1"/>
        <item x="7"/>
        <item x="2"/>
        <item x="8"/>
        <item x="18"/>
        <item x="24"/>
        <item x="5"/>
        <item x="11"/>
        <item t="default"/>
      </items>
    </pivotField>
    <pivotField axis="axisCol" showAll="0">
      <items count="6">
        <item x="4"/>
        <item x="0"/>
        <item x="1"/>
        <item x="2"/>
        <item x="3"/>
        <item t="default"/>
      </items>
    </pivotField>
    <pivotField showAll="0">
      <items count="20">
        <item x="10"/>
        <item x="16"/>
        <item x="18"/>
        <item x="14"/>
        <item x="1"/>
        <item x="0"/>
        <item x="17"/>
        <item x="8"/>
        <item x="4"/>
        <item x="15"/>
        <item x="7"/>
        <item x="2"/>
        <item x="11"/>
        <item x="3"/>
        <item x="12"/>
        <item x="5"/>
        <item x="6"/>
        <item x="13"/>
        <item x="9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Inventory" fld="5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8"/>
  <sheetViews>
    <sheetView tabSelected="1" zoomScaleNormal="100" workbookViewId="0">
      <selection activeCell="O6" sqref="O6"/>
    </sheetView>
  </sheetViews>
  <sheetFormatPr defaultColWidth="9" defaultRowHeight="15"/>
  <cols>
    <col min="1" max="1" width="5.5703125" customWidth="1"/>
    <col min="2" max="2" width="13.85546875" customWidth="1"/>
    <col min="3" max="3" width="10.7109375" customWidth="1"/>
    <col min="4" max="4" width="16.5703125" customWidth="1"/>
    <col min="5" max="5" width="15" customWidth="1"/>
    <col min="6" max="6" width="18.28515625" customWidth="1"/>
    <col min="7" max="7" width="15.28515625" customWidth="1"/>
    <col min="8" max="8" width="12.5703125" customWidth="1"/>
    <col min="9" max="9" width="18.28515625" customWidth="1"/>
    <col min="10" max="10" width="12.5703125" customWidth="1"/>
    <col min="11" max="11" width="9.42578125" customWidth="1"/>
  </cols>
  <sheetData>
    <row r="1" spans="1:15" ht="18.75">
      <c r="D1" s="10" t="s">
        <v>0</v>
      </c>
      <c r="E1" s="10"/>
      <c r="F1" s="10"/>
      <c r="G1" s="10"/>
      <c r="H1" s="10"/>
    </row>
    <row r="3" spans="1:15">
      <c r="A3" s="1" t="s">
        <v>1</v>
      </c>
      <c r="B3" s="1" t="s">
        <v>2</v>
      </c>
      <c r="C3" s="1" t="s">
        <v>3</v>
      </c>
      <c r="D3" s="1" t="s">
        <v>43</v>
      </c>
      <c r="E3" s="1" t="s">
        <v>4</v>
      </c>
      <c r="F3" s="1" t="s">
        <v>42</v>
      </c>
      <c r="G3" s="1" t="s">
        <v>5</v>
      </c>
      <c r="H3" s="1" t="s">
        <v>6</v>
      </c>
      <c r="I3" s="2" t="s">
        <v>7</v>
      </c>
      <c r="J3" s="2" t="s">
        <v>8</v>
      </c>
    </row>
    <row r="4" spans="1:15">
      <c r="A4" s="3">
        <v>1</v>
      </c>
      <c r="B4" s="3" t="s">
        <v>9</v>
      </c>
      <c r="C4" s="3" t="s">
        <v>10</v>
      </c>
      <c r="D4" s="3">
        <v>45</v>
      </c>
      <c r="E4" s="3">
        <v>15</v>
      </c>
      <c r="F4" s="3">
        <f t="shared" ref="F4:F28" si="0">D4-E4</f>
        <v>30</v>
      </c>
      <c r="G4" s="3">
        <f>MIN(E4,F4)</f>
        <v>15</v>
      </c>
      <c r="H4" s="3" t="str">
        <f>IF(F4=G4,"Yes","No")</f>
        <v>No</v>
      </c>
      <c r="I4" s="3">
        <v>100</v>
      </c>
      <c r="J4" s="3">
        <f>E4*I4</f>
        <v>1500</v>
      </c>
    </row>
    <row r="5" spans="1:15">
      <c r="A5" s="3">
        <v>2</v>
      </c>
      <c r="B5" s="3" t="s">
        <v>11</v>
      </c>
      <c r="C5" s="3" t="s">
        <v>12</v>
      </c>
      <c r="D5" s="3">
        <v>39</v>
      </c>
      <c r="E5" s="3">
        <v>20</v>
      </c>
      <c r="F5" s="3">
        <f t="shared" si="0"/>
        <v>19</v>
      </c>
      <c r="G5" s="3">
        <f t="shared" ref="G5:G28" si="1">MIN(E5,F5)</f>
        <v>19</v>
      </c>
      <c r="H5" s="3" t="str">
        <f t="shared" ref="H5:H28" si="2">IF(F5=G5,"Yes","No")</f>
        <v>Yes</v>
      </c>
      <c r="I5" s="3">
        <v>150</v>
      </c>
      <c r="J5" s="3">
        <f t="shared" ref="J5:J28" si="3">E5*I5</f>
        <v>3000</v>
      </c>
    </row>
    <row r="6" spans="1:15">
      <c r="A6" s="3">
        <v>3</v>
      </c>
      <c r="B6" s="3" t="s">
        <v>13</v>
      </c>
      <c r="C6" s="3" t="s">
        <v>14</v>
      </c>
      <c r="D6" s="3">
        <v>68</v>
      </c>
      <c r="E6" s="3">
        <v>10</v>
      </c>
      <c r="F6" s="3">
        <f t="shared" si="0"/>
        <v>58</v>
      </c>
      <c r="G6" s="3">
        <f t="shared" si="1"/>
        <v>10</v>
      </c>
      <c r="H6" s="3" t="str">
        <f t="shared" si="2"/>
        <v>No</v>
      </c>
      <c r="I6" s="3">
        <v>50</v>
      </c>
      <c r="J6" s="3">
        <f t="shared" si="3"/>
        <v>500</v>
      </c>
      <c r="L6" s="11" t="s">
        <v>15</v>
      </c>
      <c r="M6" s="11"/>
      <c r="N6" s="11"/>
      <c r="O6" s="4">
        <f>AVERAGE(J4:J28)</f>
        <v>24471.200000000001</v>
      </c>
    </row>
    <row r="7" spans="1:15">
      <c r="A7" s="3">
        <v>4</v>
      </c>
      <c r="B7" s="3" t="s">
        <v>16</v>
      </c>
      <c r="C7" s="3" t="s">
        <v>17</v>
      </c>
      <c r="D7" s="3">
        <v>75</v>
      </c>
      <c r="E7" s="3">
        <v>52</v>
      </c>
      <c r="F7" s="3">
        <f t="shared" si="0"/>
        <v>23</v>
      </c>
      <c r="G7" s="3">
        <f t="shared" si="1"/>
        <v>23</v>
      </c>
      <c r="H7" s="3" t="str">
        <f t="shared" si="2"/>
        <v>Yes</v>
      </c>
      <c r="I7" s="3">
        <v>15</v>
      </c>
      <c r="J7" s="3">
        <f t="shared" si="3"/>
        <v>780</v>
      </c>
      <c r="L7" s="11" t="s">
        <v>18</v>
      </c>
      <c r="M7" s="11"/>
      <c r="N7" s="11"/>
      <c r="O7" s="3">
        <f>MAX(F4:F28)</f>
        <v>87</v>
      </c>
    </row>
    <row r="8" spans="1:15">
      <c r="A8" s="3">
        <v>5</v>
      </c>
      <c r="B8" s="3" t="s">
        <v>19</v>
      </c>
      <c r="C8" s="3" t="s">
        <v>14</v>
      </c>
      <c r="D8" s="3">
        <v>50</v>
      </c>
      <c r="E8" s="3">
        <v>40</v>
      </c>
      <c r="F8" s="3">
        <f t="shared" si="0"/>
        <v>10</v>
      </c>
      <c r="G8" s="3">
        <f t="shared" si="1"/>
        <v>10</v>
      </c>
      <c r="H8" s="3" t="str">
        <f t="shared" si="2"/>
        <v>Yes</v>
      </c>
      <c r="I8" s="3">
        <v>10</v>
      </c>
      <c r="J8" s="3">
        <f t="shared" si="3"/>
        <v>400</v>
      </c>
      <c r="L8" s="11" t="s">
        <v>20</v>
      </c>
      <c r="M8" s="11"/>
      <c r="N8" s="11"/>
      <c r="O8" s="3">
        <f>MIN(F4:F28)</f>
        <v>6</v>
      </c>
    </row>
    <row r="9" spans="1:15">
      <c r="A9" s="3">
        <v>6</v>
      </c>
      <c r="B9" s="3" t="s">
        <v>21</v>
      </c>
      <c r="C9" s="3" t="s">
        <v>14</v>
      </c>
      <c r="D9" s="3">
        <v>68</v>
      </c>
      <c r="E9" s="3">
        <v>40</v>
      </c>
      <c r="F9" s="3">
        <f t="shared" si="0"/>
        <v>28</v>
      </c>
      <c r="G9" s="3">
        <f t="shared" si="1"/>
        <v>28</v>
      </c>
      <c r="H9" s="3" t="str">
        <f t="shared" si="2"/>
        <v>Yes</v>
      </c>
      <c r="I9" s="3">
        <v>150</v>
      </c>
      <c r="J9" s="3">
        <f t="shared" si="3"/>
        <v>6000</v>
      </c>
      <c r="L9" s="5"/>
      <c r="M9" s="5"/>
      <c r="N9" s="5"/>
    </row>
    <row r="10" spans="1:15">
      <c r="A10" s="3">
        <v>7</v>
      </c>
      <c r="B10" s="3" t="s">
        <v>22</v>
      </c>
      <c r="C10" s="3" t="s">
        <v>12</v>
      </c>
      <c r="D10" s="3">
        <v>86</v>
      </c>
      <c r="E10" s="3">
        <v>32</v>
      </c>
      <c r="F10" s="3">
        <f t="shared" si="0"/>
        <v>54</v>
      </c>
      <c r="G10" s="3">
        <f t="shared" si="1"/>
        <v>32</v>
      </c>
      <c r="H10" s="3" t="str">
        <f t="shared" si="2"/>
        <v>No</v>
      </c>
      <c r="I10" s="3">
        <v>500</v>
      </c>
      <c r="J10" s="3">
        <f t="shared" si="3"/>
        <v>16000</v>
      </c>
      <c r="L10" s="7" t="s">
        <v>3</v>
      </c>
      <c r="M10" s="7" t="s">
        <v>44</v>
      </c>
      <c r="N10" s="7" t="s">
        <v>46</v>
      </c>
      <c r="O10" s="7" t="s">
        <v>45</v>
      </c>
    </row>
    <row r="11" spans="1:15">
      <c r="A11" s="3">
        <v>8</v>
      </c>
      <c r="B11" s="3" t="s">
        <v>23</v>
      </c>
      <c r="C11" s="3" t="s">
        <v>24</v>
      </c>
      <c r="D11" s="3">
        <v>90</v>
      </c>
      <c r="E11" s="3">
        <v>12</v>
      </c>
      <c r="F11" s="3">
        <f t="shared" si="0"/>
        <v>78</v>
      </c>
      <c r="G11" s="3">
        <f t="shared" si="1"/>
        <v>12</v>
      </c>
      <c r="H11" s="3" t="str">
        <f t="shared" si="2"/>
        <v>No</v>
      </c>
      <c r="I11" s="3">
        <v>2000</v>
      </c>
      <c r="J11" s="3">
        <f t="shared" si="3"/>
        <v>24000</v>
      </c>
      <c r="L11" s="3" t="s">
        <v>10</v>
      </c>
      <c r="M11" s="3">
        <f>COUNTIF(C4:C28,"Avady")</f>
        <v>5</v>
      </c>
      <c r="N11" s="3">
        <f>SUMIF(C4:C28,"Avady",F4:F28)</f>
        <v>105</v>
      </c>
      <c r="O11" s="3">
        <f>N11/M11</f>
        <v>21</v>
      </c>
    </row>
    <row r="12" spans="1:15">
      <c r="A12" s="3">
        <v>9</v>
      </c>
      <c r="B12" s="3" t="s">
        <v>25</v>
      </c>
      <c r="C12" s="3" t="s">
        <v>10</v>
      </c>
      <c r="D12" s="3">
        <v>68</v>
      </c>
      <c r="E12" s="3">
        <v>59</v>
      </c>
      <c r="F12" s="3">
        <f t="shared" si="0"/>
        <v>9</v>
      </c>
      <c r="G12" s="3">
        <f t="shared" si="1"/>
        <v>9</v>
      </c>
      <c r="H12" s="3" t="str">
        <f t="shared" si="2"/>
        <v>Yes</v>
      </c>
      <c r="I12" s="3">
        <v>300</v>
      </c>
      <c r="J12" s="3">
        <f t="shared" si="3"/>
        <v>17700</v>
      </c>
      <c r="L12" s="3" t="s">
        <v>12</v>
      </c>
      <c r="M12" s="3">
        <f>COUNTIF(C4:C28,"Guindy")</f>
        <v>6</v>
      </c>
      <c r="N12" s="3">
        <f>SUMIF(C4:C28,"Guindy",F4:F28)</f>
        <v>246</v>
      </c>
      <c r="O12" s="3">
        <f t="shared" ref="O12:O15" si="4">N12/M12</f>
        <v>41</v>
      </c>
    </row>
    <row r="13" spans="1:15">
      <c r="A13" s="3">
        <v>10</v>
      </c>
      <c r="B13" s="3" t="s">
        <v>26</v>
      </c>
      <c r="C13" s="3" t="s">
        <v>14</v>
      </c>
      <c r="D13" s="3">
        <v>75</v>
      </c>
      <c r="E13" s="3">
        <v>40</v>
      </c>
      <c r="F13" s="3">
        <f t="shared" si="0"/>
        <v>35</v>
      </c>
      <c r="G13" s="3">
        <f t="shared" si="1"/>
        <v>35</v>
      </c>
      <c r="H13" s="3" t="str">
        <f t="shared" si="2"/>
        <v>Yes</v>
      </c>
      <c r="I13" s="3">
        <v>3000</v>
      </c>
      <c r="J13" s="3">
        <f t="shared" si="3"/>
        <v>120000</v>
      </c>
      <c r="L13" s="3" t="s">
        <v>14</v>
      </c>
      <c r="M13" s="3">
        <f>COUNTIF(C4:C28,"Mailapur")</f>
        <v>8</v>
      </c>
      <c r="N13" s="3">
        <f>SUMIF(C4:C28,"Mailapur",F4:F28)</f>
        <v>199</v>
      </c>
      <c r="O13" s="3">
        <f t="shared" si="4"/>
        <v>24.875</v>
      </c>
    </row>
    <row r="14" spans="1:15">
      <c r="A14" s="3">
        <v>11</v>
      </c>
      <c r="B14" s="3" t="s">
        <v>27</v>
      </c>
      <c r="C14" s="3" t="s">
        <v>10</v>
      </c>
      <c r="D14" s="3">
        <v>60</v>
      </c>
      <c r="E14" s="3">
        <v>30</v>
      </c>
      <c r="F14" s="3">
        <f t="shared" si="0"/>
        <v>30</v>
      </c>
      <c r="G14" s="3">
        <f t="shared" si="1"/>
        <v>30</v>
      </c>
      <c r="H14" s="3" t="str">
        <f t="shared" si="2"/>
        <v>Yes</v>
      </c>
      <c r="I14" s="3">
        <v>30</v>
      </c>
      <c r="J14" s="3">
        <f t="shared" si="3"/>
        <v>900</v>
      </c>
      <c r="L14" s="3" t="s">
        <v>17</v>
      </c>
      <c r="M14" s="3">
        <f>COUNTIF(C4:C28,"Tnagar")</f>
        <v>3</v>
      </c>
      <c r="N14" s="3">
        <f>SUMIF(C4:C28,"Tnagar",F4:F28)</f>
        <v>80</v>
      </c>
      <c r="O14" s="3">
        <f t="shared" si="4"/>
        <v>26.666666666666668</v>
      </c>
    </row>
    <row r="15" spans="1:15">
      <c r="A15" s="3">
        <v>12</v>
      </c>
      <c r="B15" s="3" t="s">
        <v>28</v>
      </c>
      <c r="C15" s="3" t="s">
        <v>17</v>
      </c>
      <c r="D15" s="3">
        <v>48</v>
      </c>
      <c r="E15" s="3">
        <v>21</v>
      </c>
      <c r="F15" s="3">
        <f t="shared" si="0"/>
        <v>27</v>
      </c>
      <c r="G15" s="3">
        <f t="shared" si="1"/>
        <v>21</v>
      </c>
      <c r="H15" s="3" t="str">
        <f t="shared" si="2"/>
        <v>No</v>
      </c>
      <c r="I15" s="3">
        <v>150</v>
      </c>
      <c r="J15" s="3">
        <f t="shared" si="3"/>
        <v>3150</v>
      </c>
      <c r="L15" s="3" t="s">
        <v>24</v>
      </c>
      <c r="M15" s="3">
        <f>COUNTIF(C4:C28,"Adayar")</f>
        <v>3</v>
      </c>
      <c r="N15" s="3">
        <f>SUMIF(C4:C28,"Adayar",F4:F28)</f>
        <v>109</v>
      </c>
      <c r="O15" s="3">
        <f t="shared" si="4"/>
        <v>36.333333333333336</v>
      </c>
    </row>
    <row r="16" spans="1:15">
      <c r="A16" s="3">
        <v>13</v>
      </c>
      <c r="B16" s="3" t="s">
        <v>29</v>
      </c>
      <c r="C16" s="3" t="s">
        <v>12</v>
      </c>
      <c r="D16" s="3">
        <v>100</v>
      </c>
      <c r="E16" s="3">
        <v>13</v>
      </c>
      <c r="F16" s="3">
        <f t="shared" si="0"/>
        <v>87</v>
      </c>
      <c r="G16" s="3">
        <f t="shared" si="1"/>
        <v>13</v>
      </c>
      <c r="H16" s="3" t="str">
        <f t="shared" si="2"/>
        <v>No</v>
      </c>
      <c r="I16" s="3">
        <v>6000</v>
      </c>
      <c r="J16" s="3">
        <f t="shared" si="3"/>
        <v>78000</v>
      </c>
    </row>
    <row r="17" spans="1:10">
      <c r="A17" s="3">
        <v>14</v>
      </c>
      <c r="B17" s="3" t="s">
        <v>30</v>
      </c>
      <c r="C17" s="3" t="s">
        <v>10</v>
      </c>
      <c r="D17" s="3">
        <v>50</v>
      </c>
      <c r="E17" s="3">
        <v>35</v>
      </c>
      <c r="F17" s="3">
        <f t="shared" si="0"/>
        <v>15</v>
      </c>
      <c r="G17" s="3">
        <f t="shared" si="1"/>
        <v>15</v>
      </c>
      <c r="H17" s="3" t="str">
        <f t="shared" si="2"/>
        <v>Yes</v>
      </c>
      <c r="I17" s="3">
        <v>1000</v>
      </c>
      <c r="J17" s="3">
        <f t="shared" si="3"/>
        <v>35000</v>
      </c>
    </row>
    <row r="18" spans="1:10">
      <c r="A18" s="3">
        <v>15</v>
      </c>
      <c r="B18" s="3" t="s">
        <v>31</v>
      </c>
      <c r="C18" s="3" t="s">
        <v>14</v>
      </c>
      <c r="D18" s="3">
        <v>20</v>
      </c>
      <c r="E18" s="3">
        <v>10</v>
      </c>
      <c r="F18" s="3">
        <f t="shared" si="0"/>
        <v>10</v>
      </c>
      <c r="G18" s="3">
        <f t="shared" si="1"/>
        <v>10</v>
      </c>
      <c r="H18" s="3" t="str">
        <f t="shared" si="2"/>
        <v>Yes</v>
      </c>
      <c r="I18" s="3">
        <v>8000</v>
      </c>
      <c r="J18" s="3">
        <f t="shared" si="3"/>
        <v>80000</v>
      </c>
    </row>
    <row r="19" spans="1:10">
      <c r="A19" s="3">
        <v>16</v>
      </c>
      <c r="B19" s="3" t="s">
        <v>32</v>
      </c>
      <c r="C19" s="3" t="s">
        <v>24</v>
      </c>
      <c r="D19" s="3">
        <v>70</v>
      </c>
      <c r="E19" s="3">
        <v>45</v>
      </c>
      <c r="F19" s="3">
        <f t="shared" si="0"/>
        <v>25</v>
      </c>
      <c r="G19" s="3">
        <f t="shared" si="1"/>
        <v>25</v>
      </c>
      <c r="H19" s="3" t="str">
        <f t="shared" si="2"/>
        <v>Yes</v>
      </c>
      <c r="I19" s="3">
        <v>10</v>
      </c>
      <c r="J19" s="3">
        <f t="shared" si="3"/>
        <v>450</v>
      </c>
    </row>
    <row r="20" spans="1:10">
      <c r="A20" s="3">
        <v>17</v>
      </c>
      <c r="B20" s="3" t="s">
        <v>33</v>
      </c>
      <c r="C20" s="3" t="s">
        <v>12</v>
      </c>
      <c r="D20" s="3">
        <v>80</v>
      </c>
      <c r="E20" s="3">
        <v>15</v>
      </c>
      <c r="F20" s="3">
        <f t="shared" si="0"/>
        <v>65</v>
      </c>
      <c r="G20" s="3">
        <f t="shared" si="1"/>
        <v>15</v>
      </c>
      <c r="H20" s="3" t="str">
        <f t="shared" si="2"/>
        <v>No</v>
      </c>
      <c r="I20" s="3">
        <v>50</v>
      </c>
      <c r="J20" s="3">
        <f t="shared" si="3"/>
        <v>750</v>
      </c>
    </row>
    <row r="21" spans="1:10">
      <c r="A21" s="3">
        <v>18</v>
      </c>
      <c r="B21" s="3" t="s">
        <v>34</v>
      </c>
      <c r="C21" s="3" t="s">
        <v>12</v>
      </c>
      <c r="D21" s="3">
        <v>99</v>
      </c>
      <c r="E21" s="3">
        <v>90</v>
      </c>
      <c r="F21" s="3">
        <f t="shared" si="0"/>
        <v>9</v>
      </c>
      <c r="G21" s="3">
        <f t="shared" si="1"/>
        <v>9</v>
      </c>
      <c r="H21" s="3" t="str">
        <f t="shared" si="2"/>
        <v>Yes</v>
      </c>
      <c r="I21" s="3">
        <v>1500</v>
      </c>
      <c r="J21" s="3">
        <f t="shared" si="3"/>
        <v>135000</v>
      </c>
    </row>
    <row r="22" spans="1:10">
      <c r="A22" s="3">
        <v>19</v>
      </c>
      <c r="B22" s="3" t="s">
        <v>35</v>
      </c>
      <c r="C22" s="3" t="s">
        <v>14</v>
      </c>
      <c r="D22" s="3">
        <v>36</v>
      </c>
      <c r="E22" s="3">
        <v>12</v>
      </c>
      <c r="F22" s="3">
        <f t="shared" si="0"/>
        <v>24</v>
      </c>
      <c r="G22" s="3">
        <f t="shared" si="1"/>
        <v>12</v>
      </c>
      <c r="H22" s="3" t="str">
        <f t="shared" si="2"/>
        <v>No</v>
      </c>
      <c r="I22" s="3">
        <v>2500</v>
      </c>
      <c r="J22" s="3">
        <f t="shared" si="3"/>
        <v>30000</v>
      </c>
    </row>
    <row r="23" spans="1:10">
      <c r="A23" s="3">
        <v>20</v>
      </c>
      <c r="B23" s="3" t="s">
        <v>36</v>
      </c>
      <c r="C23" s="3" t="s">
        <v>24</v>
      </c>
      <c r="D23" s="3">
        <v>56</v>
      </c>
      <c r="E23" s="3">
        <v>50</v>
      </c>
      <c r="F23" s="3">
        <f t="shared" si="0"/>
        <v>6</v>
      </c>
      <c r="G23" s="3">
        <f t="shared" si="1"/>
        <v>6</v>
      </c>
      <c r="H23" s="3" t="str">
        <f t="shared" si="2"/>
        <v>Yes</v>
      </c>
      <c r="I23" s="3">
        <v>350</v>
      </c>
      <c r="J23" s="3">
        <f t="shared" si="3"/>
        <v>17500</v>
      </c>
    </row>
    <row r="24" spans="1:10">
      <c r="A24" s="3">
        <v>21</v>
      </c>
      <c r="B24" s="3" t="s">
        <v>37</v>
      </c>
      <c r="C24" s="3" t="s">
        <v>12</v>
      </c>
      <c r="D24" s="3">
        <v>25</v>
      </c>
      <c r="E24" s="3">
        <v>13</v>
      </c>
      <c r="F24" s="3">
        <f t="shared" si="0"/>
        <v>12</v>
      </c>
      <c r="G24" s="3">
        <f t="shared" si="1"/>
        <v>12</v>
      </c>
      <c r="H24" s="3" t="str">
        <f t="shared" si="2"/>
        <v>Yes</v>
      </c>
      <c r="I24" s="3">
        <v>450</v>
      </c>
      <c r="J24" s="3">
        <f t="shared" si="3"/>
        <v>5850</v>
      </c>
    </row>
    <row r="25" spans="1:10">
      <c r="A25" s="3">
        <v>22</v>
      </c>
      <c r="B25" s="3" t="s">
        <v>38</v>
      </c>
      <c r="C25" s="3" t="s">
        <v>10</v>
      </c>
      <c r="D25" s="3">
        <v>46</v>
      </c>
      <c r="E25" s="3">
        <v>25</v>
      </c>
      <c r="F25" s="3">
        <f t="shared" si="0"/>
        <v>21</v>
      </c>
      <c r="G25" s="3">
        <f t="shared" si="1"/>
        <v>21</v>
      </c>
      <c r="H25" s="3" t="str">
        <f t="shared" si="2"/>
        <v>Yes</v>
      </c>
      <c r="I25" s="3">
        <v>580</v>
      </c>
      <c r="J25" s="3">
        <f t="shared" si="3"/>
        <v>14500</v>
      </c>
    </row>
    <row r="26" spans="1:10">
      <c r="A26" s="3">
        <v>23</v>
      </c>
      <c r="B26" s="3" t="s">
        <v>39</v>
      </c>
      <c r="C26" s="3" t="s">
        <v>14</v>
      </c>
      <c r="D26" s="3">
        <v>30</v>
      </c>
      <c r="E26" s="3">
        <v>21</v>
      </c>
      <c r="F26" s="3">
        <f t="shared" si="0"/>
        <v>9</v>
      </c>
      <c r="G26" s="3">
        <f t="shared" si="1"/>
        <v>9</v>
      </c>
      <c r="H26" s="3" t="str">
        <f t="shared" si="2"/>
        <v>Yes</v>
      </c>
      <c r="I26" s="3">
        <v>800</v>
      </c>
      <c r="J26" s="3">
        <f t="shared" si="3"/>
        <v>16800</v>
      </c>
    </row>
    <row r="27" spans="1:10">
      <c r="A27" s="3">
        <v>24</v>
      </c>
      <c r="B27" s="3" t="s">
        <v>40</v>
      </c>
      <c r="C27" s="3" t="s">
        <v>17</v>
      </c>
      <c r="D27" s="3">
        <v>80</v>
      </c>
      <c r="E27" s="3">
        <v>50</v>
      </c>
      <c r="F27" s="3">
        <f t="shared" si="0"/>
        <v>30</v>
      </c>
      <c r="G27" s="3">
        <f t="shared" si="1"/>
        <v>30</v>
      </c>
      <c r="H27" s="3" t="str">
        <f t="shared" si="2"/>
        <v>Yes</v>
      </c>
      <c r="I27" s="3">
        <v>60</v>
      </c>
      <c r="J27" s="3">
        <f t="shared" si="3"/>
        <v>3000</v>
      </c>
    </row>
    <row r="28" spans="1:10">
      <c r="A28" s="3">
        <v>25</v>
      </c>
      <c r="B28" s="3" t="s">
        <v>41</v>
      </c>
      <c r="C28" s="3" t="s">
        <v>14</v>
      </c>
      <c r="D28" s="3">
        <v>75</v>
      </c>
      <c r="E28" s="3">
        <v>50</v>
      </c>
      <c r="F28" s="3">
        <f t="shared" si="0"/>
        <v>25</v>
      </c>
      <c r="G28" s="3">
        <f t="shared" si="1"/>
        <v>25</v>
      </c>
      <c r="H28" s="3" t="str">
        <f t="shared" si="2"/>
        <v>Yes</v>
      </c>
      <c r="I28" s="3">
        <v>20</v>
      </c>
      <c r="J28" s="3">
        <f t="shared" si="3"/>
        <v>1000</v>
      </c>
    </row>
  </sheetData>
  <mergeCells count="4">
    <mergeCell ref="D1:H1"/>
    <mergeCell ref="L6:N6"/>
    <mergeCell ref="L7:N7"/>
    <mergeCell ref="L8:N8"/>
  </mergeCells>
  <dataValidations count="1">
    <dataValidation type="list" allowBlank="1" showInputMessage="1" showErrorMessage="1" sqref="C4:C28">
      <formula1>"Avady,Guindy,Tnagar,Mailapur,Adayar"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G30"/>
  <sheetViews>
    <sheetView workbookViewId="0">
      <selection activeCell="B3" sqref="B3"/>
    </sheetView>
  </sheetViews>
  <sheetFormatPr defaultRowHeight="15"/>
  <cols>
    <col min="1" max="2" width="16.28515625" bestFit="1" customWidth="1"/>
    <col min="3" max="3" width="6.42578125" bestFit="1" customWidth="1"/>
    <col min="4" max="4" width="7.42578125" bestFit="1" customWidth="1"/>
    <col min="5" max="5" width="9" bestFit="1" customWidth="1"/>
    <col min="6" max="6" width="6.85546875" bestFit="1" customWidth="1"/>
    <col min="7" max="7" width="11.28515625" bestFit="1" customWidth="1"/>
  </cols>
  <sheetData>
    <row r="3" spans="1:7">
      <c r="A3" s="8" t="s">
        <v>50</v>
      </c>
      <c r="B3" s="8" t="s">
        <v>49</v>
      </c>
    </row>
    <row r="4" spans="1:7">
      <c r="A4" s="8" t="s">
        <v>47</v>
      </c>
      <c r="B4" t="s">
        <v>24</v>
      </c>
      <c r="C4" t="s">
        <v>10</v>
      </c>
      <c r="D4" t="s">
        <v>12</v>
      </c>
      <c r="E4" t="s">
        <v>14</v>
      </c>
      <c r="F4" t="s">
        <v>17</v>
      </c>
      <c r="G4" t="s">
        <v>48</v>
      </c>
    </row>
    <row r="5" spans="1:7">
      <c r="A5" s="6" t="s">
        <v>32</v>
      </c>
      <c r="B5" s="9">
        <v>25</v>
      </c>
      <c r="C5" s="9"/>
      <c r="D5" s="9"/>
      <c r="E5" s="9"/>
      <c r="F5" s="9"/>
      <c r="G5" s="9">
        <v>25</v>
      </c>
    </row>
    <row r="6" spans="1:7">
      <c r="A6" s="6" t="s">
        <v>9</v>
      </c>
      <c r="B6" s="9"/>
      <c r="C6" s="9">
        <v>30</v>
      </c>
      <c r="D6" s="9"/>
      <c r="E6" s="9"/>
      <c r="F6" s="9"/>
      <c r="G6" s="9">
        <v>30</v>
      </c>
    </row>
    <row r="7" spans="1:7">
      <c r="A7" s="6" t="s">
        <v>30</v>
      </c>
      <c r="B7" s="9"/>
      <c r="C7" s="9">
        <v>15</v>
      </c>
      <c r="D7" s="9"/>
      <c r="E7" s="9"/>
      <c r="F7" s="9"/>
      <c r="G7" s="9">
        <v>15</v>
      </c>
    </row>
    <row r="8" spans="1:7">
      <c r="A8" s="6" t="s">
        <v>34</v>
      </c>
      <c r="B8" s="9"/>
      <c r="C8" s="9"/>
      <c r="D8" s="9">
        <v>9</v>
      </c>
      <c r="E8" s="9"/>
      <c r="F8" s="9"/>
      <c r="G8" s="9">
        <v>9</v>
      </c>
    </row>
    <row r="9" spans="1:7">
      <c r="A9" s="6" t="s">
        <v>36</v>
      </c>
      <c r="B9" s="9">
        <v>6</v>
      </c>
      <c r="C9" s="9"/>
      <c r="D9" s="9"/>
      <c r="E9" s="9"/>
      <c r="F9" s="9"/>
      <c r="G9" s="9">
        <v>6</v>
      </c>
    </row>
    <row r="10" spans="1:7">
      <c r="A10" s="6" t="s">
        <v>29</v>
      </c>
      <c r="B10" s="9"/>
      <c r="C10" s="9"/>
      <c r="D10" s="9">
        <v>87</v>
      </c>
      <c r="E10" s="9"/>
      <c r="F10" s="9"/>
      <c r="G10" s="9">
        <v>87</v>
      </c>
    </row>
    <row r="11" spans="1:7">
      <c r="A11" s="6" t="s">
        <v>31</v>
      </c>
      <c r="B11" s="9"/>
      <c r="C11" s="9"/>
      <c r="D11" s="9"/>
      <c r="E11" s="9">
        <v>10</v>
      </c>
      <c r="F11" s="9"/>
      <c r="G11" s="9">
        <v>10</v>
      </c>
    </row>
    <row r="12" spans="1:7">
      <c r="A12" s="6" t="s">
        <v>33</v>
      </c>
      <c r="B12" s="9"/>
      <c r="C12" s="9"/>
      <c r="D12" s="9">
        <v>65</v>
      </c>
      <c r="E12" s="9"/>
      <c r="F12" s="9"/>
      <c r="G12" s="9">
        <v>65</v>
      </c>
    </row>
    <row r="13" spans="1:7">
      <c r="A13" s="6" t="s">
        <v>39</v>
      </c>
      <c r="B13" s="9"/>
      <c r="C13" s="9"/>
      <c r="D13" s="9"/>
      <c r="E13" s="9">
        <v>9</v>
      </c>
      <c r="F13" s="9"/>
      <c r="G13" s="9">
        <v>9</v>
      </c>
    </row>
    <row r="14" spans="1:7">
      <c r="A14" s="6" t="s">
        <v>37</v>
      </c>
      <c r="B14" s="9"/>
      <c r="C14" s="9"/>
      <c r="D14" s="9">
        <v>12</v>
      </c>
      <c r="E14" s="9"/>
      <c r="F14" s="9"/>
      <c r="G14" s="9">
        <v>12</v>
      </c>
    </row>
    <row r="15" spans="1:7">
      <c r="A15" s="6" t="s">
        <v>27</v>
      </c>
      <c r="B15" s="9"/>
      <c r="C15" s="9">
        <v>30</v>
      </c>
      <c r="D15" s="9"/>
      <c r="E15" s="9"/>
      <c r="F15" s="9"/>
      <c r="G15" s="9">
        <v>30</v>
      </c>
    </row>
    <row r="16" spans="1:7">
      <c r="A16" s="6" t="s">
        <v>38</v>
      </c>
      <c r="B16" s="9"/>
      <c r="C16" s="9">
        <v>21</v>
      </c>
      <c r="D16" s="9"/>
      <c r="E16" s="9"/>
      <c r="F16" s="9"/>
      <c r="G16" s="9">
        <v>21</v>
      </c>
    </row>
    <row r="17" spans="1:7">
      <c r="A17" s="6" t="s">
        <v>16</v>
      </c>
      <c r="B17" s="9"/>
      <c r="C17" s="9"/>
      <c r="D17" s="9"/>
      <c r="E17" s="9"/>
      <c r="F17" s="9">
        <v>23</v>
      </c>
      <c r="G17" s="9">
        <v>23</v>
      </c>
    </row>
    <row r="18" spans="1:7">
      <c r="A18" s="6" t="s">
        <v>19</v>
      </c>
      <c r="B18" s="9"/>
      <c r="C18" s="9"/>
      <c r="D18" s="9"/>
      <c r="E18" s="9">
        <v>10</v>
      </c>
      <c r="F18" s="9"/>
      <c r="G18" s="9">
        <v>10</v>
      </c>
    </row>
    <row r="19" spans="1:7">
      <c r="A19" s="6" t="s">
        <v>40</v>
      </c>
      <c r="B19" s="9"/>
      <c r="C19" s="9"/>
      <c r="D19" s="9"/>
      <c r="E19" s="9"/>
      <c r="F19" s="9">
        <v>30</v>
      </c>
      <c r="G19" s="9">
        <v>30</v>
      </c>
    </row>
    <row r="20" spans="1:7">
      <c r="A20" s="6" t="s">
        <v>26</v>
      </c>
      <c r="B20" s="9"/>
      <c r="C20" s="9"/>
      <c r="D20" s="9"/>
      <c r="E20" s="9">
        <v>35</v>
      </c>
      <c r="F20" s="9"/>
      <c r="G20" s="9">
        <v>35</v>
      </c>
    </row>
    <row r="21" spans="1:7">
      <c r="A21" s="6" t="s">
        <v>22</v>
      </c>
      <c r="B21" s="9"/>
      <c r="C21" s="9"/>
      <c r="D21" s="9">
        <v>54</v>
      </c>
      <c r="E21" s="9"/>
      <c r="F21" s="9"/>
      <c r="G21" s="9">
        <v>54</v>
      </c>
    </row>
    <row r="22" spans="1:7">
      <c r="A22" s="6" t="s">
        <v>11</v>
      </c>
      <c r="B22" s="9"/>
      <c r="C22" s="9"/>
      <c r="D22" s="9">
        <v>19</v>
      </c>
      <c r="E22" s="9"/>
      <c r="F22" s="9"/>
      <c r="G22" s="9">
        <v>19</v>
      </c>
    </row>
    <row r="23" spans="1:7">
      <c r="A23" s="6" t="s">
        <v>23</v>
      </c>
      <c r="B23" s="9">
        <v>78</v>
      </c>
      <c r="C23" s="9"/>
      <c r="D23" s="9"/>
      <c r="E23" s="9"/>
      <c r="F23" s="9"/>
      <c r="G23" s="9">
        <v>78</v>
      </c>
    </row>
    <row r="24" spans="1:7">
      <c r="A24" s="6" t="s">
        <v>13</v>
      </c>
      <c r="B24" s="9"/>
      <c r="C24" s="9"/>
      <c r="D24" s="9"/>
      <c r="E24" s="9">
        <v>58</v>
      </c>
      <c r="F24" s="9"/>
      <c r="G24" s="9">
        <v>58</v>
      </c>
    </row>
    <row r="25" spans="1:7">
      <c r="A25" s="6" t="s">
        <v>25</v>
      </c>
      <c r="B25" s="9"/>
      <c r="C25" s="9">
        <v>9</v>
      </c>
      <c r="D25" s="9"/>
      <c r="E25" s="9"/>
      <c r="F25" s="9"/>
      <c r="G25" s="9">
        <v>9</v>
      </c>
    </row>
    <row r="26" spans="1:7">
      <c r="A26" s="6" t="s">
        <v>35</v>
      </c>
      <c r="B26" s="9"/>
      <c r="C26" s="9"/>
      <c r="D26" s="9"/>
      <c r="E26" s="9">
        <v>24</v>
      </c>
      <c r="F26" s="9"/>
      <c r="G26" s="9">
        <v>24</v>
      </c>
    </row>
    <row r="27" spans="1:7">
      <c r="A27" s="6" t="s">
        <v>41</v>
      </c>
      <c r="B27" s="9"/>
      <c r="C27" s="9"/>
      <c r="D27" s="9"/>
      <c r="E27" s="9">
        <v>25</v>
      </c>
      <c r="F27" s="9"/>
      <c r="G27" s="9">
        <v>25</v>
      </c>
    </row>
    <row r="28" spans="1:7">
      <c r="A28" s="6" t="s">
        <v>21</v>
      </c>
      <c r="B28" s="9"/>
      <c r="C28" s="9"/>
      <c r="D28" s="9"/>
      <c r="E28" s="9">
        <v>28</v>
      </c>
      <c r="F28" s="9"/>
      <c r="G28" s="9">
        <v>28</v>
      </c>
    </row>
    <row r="29" spans="1:7">
      <c r="A29" s="6" t="s">
        <v>28</v>
      </c>
      <c r="B29" s="9"/>
      <c r="C29" s="9"/>
      <c r="D29" s="9"/>
      <c r="E29" s="9"/>
      <c r="F29" s="9">
        <v>27</v>
      </c>
      <c r="G29" s="9">
        <v>27</v>
      </c>
    </row>
    <row r="30" spans="1:7">
      <c r="A30" s="6" t="s">
        <v>48</v>
      </c>
      <c r="B30" s="9">
        <v>109</v>
      </c>
      <c r="C30" s="9">
        <v>105</v>
      </c>
      <c r="D30" s="9">
        <v>246</v>
      </c>
      <c r="E30" s="9">
        <v>199</v>
      </c>
      <c r="F30" s="9">
        <v>80</v>
      </c>
      <c r="G30" s="9">
        <v>739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zoomScale="85" zoomScaleNormal="85" workbookViewId="0">
      <selection activeCell="T16" sqref="T16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set</vt:lpstr>
      <vt:lpstr>Pivot table</vt:lpstr>
      <vt:lpstr>Line chart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2026-05-07T05:45:00Z</dcterms:created>
  <dcterms:modified xsi:type="dcterms:W3CDTF">2026-05-22T06:03:13Z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717C1BD0A45E4D4FBDC74965A553FD09_12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